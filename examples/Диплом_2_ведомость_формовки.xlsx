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едомость формовки" sheetId="1" r:id="rId1"/>
    <sheet name="Импорт A-P" sheetId="2" r:id="rId2"/>
    <sheet name="Сверка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5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7324F"/>
      </patternFill>
    </fill>
    <fill>
      <patternFill patternType="solid">
        <fgColor rgb="FF27577B"/>
      </patternFill>
    </fill>
    <fill>
      <patternFill patternType="solid">
        <fgColor rgb="FFD9E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/>
    <xf numFmtId="0" fontId="2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24"/>
  <sheetViews>
    <sheetView workbookViewId="0">
      <pane ySplit="3" topLeftCell="A4" activePane="bottomLeft" state="frozen"/>
    </sheetView>
  </sheetViews>
  <cols>
    <col min="1" max="1" width="14" customWidth="1"/>
    <col min="2" max="2" width="27" customWidth="1"/>
    <col min="3" max="3" width="22" customWidth="1"/>
    <col min="4" max="4" width="21" customWidth="1"/>
    <col min="5" max="5" width="16" customWidth="1"/>
    <col min="6" max="6" width="23" customWidth="1"/>
    <col min="7" max="7" width="18" customWidth="1"/>
    <col min="8" max="8" width="18" customWidth="1"/>
    <col min="9" max="9" width="18" customWidth="1"/>
    <col min="10" max="10" width="19" customWidth="1"/>
    <col min="11" max="11" width="22" customWidth="1"/>
    <col min="12" max="12" width="23" customWidth="1"/>
    <col min="13" max="13" width="19" customWidth="1"/>
    <col min="14" max="14" width="20" customWidth="1"/>
    <col min="15" max="15" width="24" customWidth="1"/>
  </cols>
  <sheetData>
    <row r="1" ht="35" customHeight="1">
      <c r="A1" s="1" t="inlineStr">
        <is>
          <t>Диплом 2 — исходная ведомость, PDF стр. 25</t>
        </is>
      </c>
    </row>
    <row r="2" ht="35" customHeight="1">
      <c r="A2" s="3" t="inlineStr">
        <is>
          <t>Значения из PDF не исправлены; в «Сверка» показаны различия с формулами.</t>
        </is>
      </c>
    </row>
    <row r="3" ht="56" customHeight="1">
      <c r="A3" s="2" t="inlineStr">
        <is>
          <t>Отливка</t>
        </is>
      </c>
      <c r="B3" s="2" t="inlineStr">
        <is>
          <t>Масса, кг</t>
        </is>
      </c>
      <c r="C3" s="2" t="inlineStr">
        <is>
          <t>Длина, мм</t>
        </is>
      </c>
      <c r="D3" s="2" t="inlineStr">
        <is>
          <t>Ширина, мм</t>
        </is>
      </c>
      <c r="E3" s="2" t="inlineStr">
        <is>
          <t>Высота, мм</t>
        </is>
      </c>
      <c r="F3" s="2" t="inlineStr">
        <is>
          <t>Отливок/год</t>
        </is>
      </c>
      <c r="G3" s="2" t="inlineStr">
        <is>
          <t>Отливок в форме</t>
        </is>
      </c>
      <c r="H3" s="2" t="inlineStr">
        <is>
          <t>Форм/год (PDF)</t>
        </is>
      </c>
      <c r="I3" s="2" t="inlineStr">
        <is>
          <t>Опока L×W</t>
        </is>
      </c>
      <c r="J3" s="2" t="inlineStr">
        <is>
          <t>Высоты полуформ</t>
        </is>
      </c>
      <c r="K3" s="2" t="inlineStr">
        <is>
          <t>Заливка, кг/форму</t>
        </is>
      </c>
      <c r="L3" s="2" t="inlineStr">
        <is>
          <t>Металл/год, кг</t>
        </is>
      </c>
      <c r="M3" s="2" t="inlineStr">
        <is>
          <t>Смесь/форму, м³</t>
        </is>
      </c>
      <c r="N3" s="2" t="inlineStr">
        <is>
          <t>Смесь/год, м³</t>
        </is>
      </c>
      <c r="O3" s="2" t="inlineStr">
        <is>
          <t>АФЛ</t>
        </is>
      </c>
    </row>
    <row r="4">
      <c r="A4" t="inlineStr">
        <is>
          <t>Полумуфта</t>
        </is>
      </c>
      <c r="B4">
        <v>6.37</v>
      </c>
      <c r="C4">
        <v>125</v>
      </c>
      <c r="D4">
        <v>84</v>
      </c>
      <c r="E4">
        <v>76</v>
      </c>
      <c r="F4">
        <v>817208</v>
      </c>
      <c r="G4">
        <v>12</v>
      </c>
      <c r="H4">
        <v>68101</v>
      </c>
      <c r="I4" t="inlineStr">
        <is>
          <t>900x600</t>
        </is>
      </c>
      <c r="J4" t="inlineStr">
        <is>
          <t>200/200</t>
        </is>
      </c>
      <c r="K4">
        <v>76.4</v>
      </c>
      <c r="L4">
        <v>5205615.0</v>
      </c>
      <c r="M4">
        <v>0.127</v>
      </c>
      <c r="N4">
        <v>8735.3</v>
      </c>
      <c r="O4" t="inlineStr">
        <is>
          <t>ИЛ-225</t>
        </is>
      </c>
    </row>
    <row r="5">
      <c r="A5" t="inlineStr">
        <is>
          <t>Щит</t>
        </is>
      </c>
      <c r="B5">
        <v>4.55</v>
      </c>
      <c r="C5">
        <v>112</v>
      </c>
      <c r="D5">
        <v>63</v>
      </c>
      <c r="E5">
        <v>85</v>
      </c>
      <c r="F5">
        <v>1193128</v>
      </c>
      <c r="G5">
        <v>16</v>
      </c>
      <c r="H5">
        <v>74571</v>
      </c>
      <c r="I5" t="inlineStr">
        <is>
          <t>900x600</t>
        </is>
      </c>
      <c r="J5" t="inlineStr">
        <is>
          <t>200/200</t>
        </is>
      </c>
      <c r="K5">
        <v>72.8</v>
      </c>
      <c r="L5">
        <v>5428732.4</v>
      </c>
      <c r="M5">
        <v>0.127</v>
      </c>
      <c r="N5">
        <v>9565.2</v>
      </c>
      <c r="O5" t="inlineStr">
        <is>
          <t>ИЛ-225</t>
        </is>
      </c>
    </row>
    <row r="6">
      <c r="A6" t="inlineStr">
        <is>
          <t>Кронштейн</t>
        </is>
      </c>
      <c r="B6">
        <v>13.26</v>
      </c>
      <c r="C6">
        <v>110</v>
      </c>
      <c r="D6">
        <v>73</v>
      </c>
      <c r="E6">
        <v>67</v>
      </c>
      <c r="F6">
        <v>428797</v>
      </c>
      <c r="G6">
        <v>14</v>
      </c>
      <c r="H6">
        <v>30628</v>
      </c>
      <c r="I6" t="inlineStr">
        <is>
          <t>900x600</t>
        </is>
      </c>
      <c r="J6" t="inlineStr">
        <is>
          <t>200/200</t>
        </is>
      </c>
      <c r="K6">
        <v>185.6</v>
      </c>
      <c r="L6">
        <v>5685848.2</v>
      </c>
      <c r="M6">
        <v>0.13</v>
      </c>
      <c r="N6">
        <v>4021.5</v>
      </c>
      <c r="O6" t="inlineStr">
        <is>
          <t>ИЛ-225</t>
        </is>
      </c>
    </row>
    <row r="7">
      <c r="A7" t="inlineStr">
        <is>
          <t>Втулка</t>
        </is>
      </c>
      <c r="B7">
        <v>9.62</v>
      </c>
      <c r="C7">
        <v>92</v>
      </c>
      <c r="D7">
        <v>87</v>
      </c>
      <c r="E7">
        <v>80</v>
      </c>
      <c r="F7">
        <v>319644</v>
      </c>
      <c r="G7">
        <v>12</v>
      </c>
      <c r="H7">
        <v>26637</v>
      </c>
      <c r="I7" t="inlineStr">
        <is>
          <t>900x600</t>
        </is>
      </c>
      <c r="J7" t="inlineStr">
        <is>
          <t>200/200</t>
        </is>
      </c>
      <c r="K7">
        <v>115.4</v>
      </c>
      <c r="L7">
        <v>3074975.3</v>
      </c>
      <c r="M7">
        <v>0.13</v>
      </c>
      <c r="N7">
        <v>3497.4</v>
      </c>
      <c r="O7" t="inlineStr">
        <is>
          <t>ИЛ-225</t>
        </is>
      </c>
    </row>
    <row r="8">
      <c r="A8" t="inlineStr">
        <is>
          <t>Корпус редуктора</t>
        </is>
      </c>
      <c r="B8">
        <v>5.85</v>
      </c>
      <c r="C8">
        <v>124</v>
      </c>
      <c r="D8">
        <v>91</v>
      </c>
      <c r="E8">
        <v>60</v>
      </c>
      <c r="F8">
        <v>259424</v>
      </c>
      <c r="G8">
        <v>12</v>
      </c>
      <c r="H8">
        <v>21619</v>
      </c>
      <c r="I8" t="inlineStr">
        <is>
          <t>900x600</t>
        </is>
      </c>
      <c r="J8" t="inlineStr">
        <is>
          <t>200/200</t>
        </is>
      </c>
      <c r="K8">
        <v>70.2</v>
      </c>
      <c r="L8">
        <v>1517630.4</v>
      </c>
      <c r="M8">
        <v>0.13</v>
      </c>
      <c r="N8">
        <v>2838.5</v>
      </c>
      <c r="O8" t="inlineStr">
        <is>
          <t>ИЛ-225</t>
        </is>
      </c>
    </row>
    <row r="9">
      <c r="A9" t="inlineStr">
        <is>
          <t>Траверса</t>
        </is>
      </c>
      <c r="B9">
        <v>14.69</v>
      </c>
      <c r="C9">
        <v>125</v>
      </c>
      <c r="D9">
        <v>80</v>
      </c>
      <c r="E9">
        <v>98</v>
      </c>
      <c r="F9">
        <v>305877</v>
      </c>
      <c r="G9">
        <v>10</v>
      </c>
      <c r="H9">
        <v>30588</v>
      </c>
      <c r="I9" t="inlineStr">
        <is>
          <t>900x600</t>
        </is>
      </c>
      <c r="J9" t="inlineStr">
        <is>
          <t>200/200</t>
        </is>
      </c>
      <c r="K9">
        <v>146.9</v>
      </c>
      <c r="L9">
        <v>4493333.1</v>
      </c>
      <c r="M9">
        <v>0.127</v>
      </c>
      <c r="N9">
        <v>3923.5</v>
      </c>
      <c r="O9" t="inlineStr">
        <is>
          <t>ИЛ-225</t>
        </is>
      </c>
    </row>
    <row r="10" ht="56" customHeight="1">
      <c r="A10" t="inlineStr">
        <is>
          <t>Корпус насоса</t>
        </is>
      </c>
      <c r="B10">
        <v>11.44</v>
      </c>
      <c r="C10">
        <v>88</v>
      </c>
      <c r="D10">
        <v>86</v>
      </c>
      <c r="E10">
        <v>80</v>
      </c>
      <c r="F10">
        <v>273673</v>
      </c>
      <c r="G10">
        <v>14</v>
      </c>
      <c r="H10">
        <v>19548</v>
      </c>
      <c r="I10" t="inlineStr">
        <is>
          <t>900x600</t>
        </is>
      </c>
      <c r="J10" t="inlineStr">
        <is>
          <t>200/200</t>
        </is>
      </c>
      <c r="K10">
        <v>160.2</v>
      </c>
      <c r="L10">
        <v>3130819.1</v>
      </c>
      <c r="M10">
        <v>0.129</v>
      </c>
      <c r="N10">
        <v>2546.9</v>
      </c>
      <c r="O10" t="inlineStr">
        <is>
          <t>ИЛ-225</t>
        </is>
      </c>
    </row>
    <row r="11">
      <c r="A11" t="inlineStr">
        <is>
          <t>Патрубок</t>
        </is>
      </c>
      <c r="B11">
        <v>13.0</v>
      </c>
      <c r="C11">
        <v>132</v>
      </c>
      <c r="D11">
        <v>76</v>
      </c>
      <c r="E11">
        <v>80</v>
      </c>
      <c r="F11">
        <v>238636</v>
      </c>
      <c r="G11">
        <v>12</v>
      </c>
      <c r="H11">
        <v>19886</v>
      </c>
      <c r="I11" t="inlineStr">
        <is>
          <t>900x600</t>
        </is>
      </c>
      <c r="J11" t="inlineStr">
        <is>
          <t>200/200</t>
        </is>
      </c>
      <c r="K11">
        <v>156.0</v>
      </c>
      <c r="L11">
        <v>3102268.0</v>
      </c>
      <c r="M11">
        <v>0.128</v>
      </c>
      <c r="N11">
        <v>2570.9</v>
      </c>
      <c r="O11" t="inlineStr">
        <is>
          <t>ИЛ-225</t>
        </is>
      </c>
    </row>
    <row r="12">
      <c r="A12" t="inlineStr">
        <is>
          <t>Крышка задняя</t>
        </is>
      </c>
      <c r="B12">
        <v>13.26</v>
      </c>
      <c r="C12">
        <v>99</v>
      </c>
      <c r="D12">
        <v>88</v>
      </c>
      <c r="E12">
        <v>80</v>
      </c>
      <c r="F12">
        <v>429563</v>
      </c>
      <c r="G12">
        <v>12</v>
      </c>
      <c r="H12">
        <v>35797</v>
      </c>
      <c r="I12" t="inlineStr">
        <is>
          <t>900x600</t>
        </is>
      </c>
      <c r="J12" t="inlineStr">
        <is>
          <t>200/200</t>
        </is>
      </c>
      <c r="K12">
        <v>159.1</v>
      </c>
      <c r="L12">
        <v>5696005.4</v>
      </c>
      <c r="M12">
        <v>0.129</v>
      </c>
      <c r="N12">
        <v>4664.0</v>
      </c>
      <c r="O12" t="inlineStr">
        <is>
          <t>ИЛ-225</t>
        </is>
      </c>
    </row>
    <row r="13">
      <c r="A13" t="inlineStr">
        <is>
          <t>Стояк</t>
        </is>
      </c>
      <c r="B13">
        <v>17.03</v>
      </c>
      <c r="C13">
        <v>115</v>
      </c>
      <c r="D13">
        <v>94</v>
      </c>
      <c r="E13">
        <v>79</v>
      </c>
      <c r="F13">
        <v>273539</v>
      </c>
      <c r="G13">
        <v>10</v>
      </c>
      <c r="H13">
        <v>27354</v>
      </c>
      <c r="I13" t="inlineStr">
        <is>
          <t>900x600</t>
        </is>
      </c>
      <c r="J13" t="inlineStr">
        <is>
          <t>200/200</t>
        </is>
      </c>
      <c r="K13">
        <v>170.3</v>
      </c>
      <c r="L13">
        <v>4658369.2</v>
      </c>
      <c r="M13">
        <v>0.129</v>
      </c>
      <c r="N13">
        <v>3563.9</v>
      </c>
      <c r="O13" t="inlineStr">
        <is>
          <t>ИЛ-225</t>
        </is>
      </c>
    </row>
    <row r="14">
      <c r="A14" t="inlineStr">
        <is>
          <t>Крышка</t>
        </is>
      </c>
      <c r="B14">
        <v>14.56</v>
      </c>
      <c r="C14">
        <v>55</v>
      </c>
      <c r="D14">
        <v>115</v>
      </c>
      <c r="E14">
        <v>64</v>
      </c>
      <c r="F14">
        <v>221506</v>
      </c>
      <c r="G14">
        <v>20</v>
      </c>
      <c r="H14">
        <v>11075</v>
      </c>
      <c r="I14" t="inlineStr">
        <is>
          <t>900x600</t>
        </is>
      </c>
      <c r="J14" t="inlineStr">
        <is>
          <t>200/200</t>
        </is>
      </c>
      <c r="K14">
        <v>291.2</v>
      </c>
      <c r="L14">
        <v>3225127.4</v>
      </c>
      <c r="M14">
        <v>0.129</v>
      </c>
      <c r="N14">
        <v>1443.0</v>
      </c>
      <c r="O14" t="inlineStr">
        <is>
          <t>ИЛ-225</t>
        </is>
      </c>
    </row>
    <row r="15">
      <c r="A15" t="inlineStr">
        <is>
          <t>Фланец</t>
        </is>
      </c>
      <c r="B15">
        <v>12.09</v>
      </c>
      <c r="C15">
        <v>120</v>
      </c>
      <c r="D15">
        <v>44</v>
      </c>
      <c r="E15">
        <v>136</v>
      </c>
      <c r="F15">
        <v>267991</v>
      </c>
      <c r="G15">
        <v>12</v>
      </c>
      <c r="H15">
        <v>22333</v>
      </c>
      <c r="I15" t="inlineStr">
        <is>
          <t>900x600</t>
        </is>
      </c>
      <c r="J15" t="inlineStr">
        <is>
          <t>200/200</t>
        </is>
      </c>
      <c r="K15">
        <v>145.1</v>
      </c>
      <c r="L15">
        <v>3240011.2</v>
      </c>
      <c r="M15">
        <v>0.129</v>
      </c>
      <c r="N15">
        <v>2909.7</v>
      </c>
      <c r="O15" t="inlineStr">
        <is>
          <t>ИЛ-225</t>
        </is>
      </c>
    </row>
    <row r="16">
      <c r="A16" t="inlineStr">
        <is>
          <t>Золотник</t>
        </is>
      </c>
      <c r="B16">
        <v>6.37</v>
      </c>
      <c r="C16">
        <v>80</v>
      </c>
      <c r="D16">
        <v>92</v>
      </c>
      <c r="E16">
        <v>100</v>
      </c>
      <c r="F16">
        <v>427597</v>
      </c>
      <c r="G16">
        <v>10</v>
      </c>
      <c r="H16">
        <v>42760</v>
      </c>
      <c r="I16" t="inlineStr">
        <is>
          <t>900x600</t>
        </is>
      </c>
      <c r="J16" t="inlineStr">
        <is>
          <t>200/200</t>
        </is>
      </c>
      <c r="K16">
        <v>63.7</v>
      </c>
      <c r="L16">
        <v>2723792.9</v>
      </c>
      <c r="M16">
        <v>0.13</v>
      </c>
      <c r="N16">
        <v>5614.3</v>
      </c>
      <c r="O16" t="inlineStr">
        <is>
          <t>ИЛ-225</t>
        </is>
      </c>
    </row>
    <row r="17">
      <c r="A17" t="inlineStr">
        <is>
          <t>Плита</t>
        </is>
      </c>
      <c r="B17">
        <v>13.26</v>
      </c>
      <c r="C17">
        <v>135</v>
      </c>
      <c r="D17">
        <v>84</v>
      </c>
      <c r="E17">
        <v>85</v>
      </c>
      <c r="F17">
        <v>242063</v>
      </c>
      <c r="G17">
        <v>10</v>
      </c>
      <c r="H17">
        <v>24206</v>
      </c>
      <c r="I17" t="inlineStr">
        <is>
          <t>900x600</t>
        </is>
      </c>
      <c r="J17" t="inlineStr">
        <is>
          <t>200/200</t>
        </is>
      </c>
      <c r="K17">
        <v>132.6</v>
      </c>
      <c r="L17">
        <v>3209755.4</v>
      </c>
      <c r="M17">
        <v>0.127</v>
      </c>
      <c r="N17">
        <v>3104.9</v>
      </c>
      <c r="O17" t="inlineStr">
        <is>
          <t>ИЛ-225</t>
        </is>
      </c>
    </row>
    <row r="18">
      <c r="A18" t="inlineStr">
        <is>
          <t>Основание</t>
        </is>
      </c>
      <c r="B18">
        <v>9.62</v>
      </c>
      <c r="C18">
        <v>91</v>
      </c>
      <c r="D18">
        <v>87</v>
      </c>
      <c r="E18">
        <v>68</v>
      </c>
      <c r="F18">
        <v>291394</v>
      </c>
      <c r="G18">
        <v>14</v>
      </c>
      <c r="H18">
        <v>20814</v>
      </c>
      <c r="I18" t="inlineStr">
        <is>
          <t>900x600</t>
        </is>
      </c>
      <c r="J18" t="inlineStr">
        <is>
          <t>200/200</t>
        </is>
      </c>
      <c r="K18">
        <v>134.7</v>
      </c>
      <c r="L18">
        <v>2803210.3</v>
      </c>
      <c r="M18">
        <v>0.128</v>
      </c>
      <c r="N18">
        <v>2690.8</v>
      </c>
      <c r="O18" t="inlineStr">
        <is>
          <t>ИЛ-225</t>
        </is>
      </c>
    </row>
    <row r="19">
      <c r="A19" t="inlineStr">
        <is>
          <t>Штуцер</t>
        </is>
      </c>
      <c r="B19">
        <v>7.41</v>
      </c>
      <c r="C19">
        <v>123</v>
      </c>
      <c r="D19">
        <v>76</v>
      </c>
      <c r="E19">
        <v>80</v>
      </c>
      <c r="F19">
        <v>411292</v>
      </c>
      <c r="G19">
        <v>12</v>
      </c>
      <c r="H19">
        <v>34274</v>
      </c>
      <c r="I19" t="inlineStr">
        <is>
          <t>900x600</t>
        </is>
      </c>
      <c r="J19" t="inlineStr">
        <is>
          <t>200/200</t>
        </is>
      </c>
      <c r="K19">
        <v>88.9</v>
      </c>
      <c r="L19">
        <v>3047673.7</v>
      </c>
      <c r="M19">
        <v>0.129</v>
      </c>
      <c r="N19">
        <v>4465.6</v>
      </c>
      <c r="O19" t="inlineStr">
        <is>
          <t>ИЛ-225</t>
        </is>
      </c>
    </row>
    <row r="20">
      <c r="A20" t="inlineStr">
        <is>
          <t>Кольцо</t>
        </is>
      </c>
      <c r="B20">
        <v>12.35</v>
      </c>
      <c r="C20">
        <v>114</v>
      </c>
      <c r="D20">
        <v>84</v>
      </c>
      <c r="E20">
        <v>87</v>
      </c>
      <c r="F20">
        <v>365139</v>
      </c>
      <c r="G20">
        <v>10</v>
      </c>
      <c r="H20">
        <v>36514</v>
      </c>
      <c r="I20" t="inlineStr">
        <is>
          <t>900x600</t>
        </is>
      </c>
      <c r="J20" t="inlineStr">
        <is>
          <t>200/200</t>
        </is>
      </c>
      <c r="K20">
        <v>123.5</v>
      </c>
      <c r="L20">
        <v>4509466.7</v>
      </c>
      <c r="M20">
        <v>0.128</v>
      </c>
      <c r="N20">
        <v>4720.5</v>
      </c>
      <c r="O20" t="inlineStr">
        <is>
          <t>ИЛ-225</t>
        </is>
      </c>
    </row>
    <row r="21">
      <c r="A21" t="inlineStr">
        <is>
          <t>Фланец</t>
        </is>
      </c>
      <c r="B21">
        <v>13.65</v>
      </c>
      <c r="C21">
        <v>124</v>
      </c>
      <c r="D21">
        <v>64</v>
      </c>
      <c r="E21">
        <v>82</v>
      </c>
      <c r="F21">
        <v>423091</v>
      </c>
      <c r="G21">
        <v>14</v>
      </c>
      <c r="H21">
        <v>30221</v>
      </c>
      <c r="I21" t="inlineStr">
        <is>
          <t>900x600</t>
        </is>
      </c>
      <c r="J21" t="inlineStr">
        <is>
          <t>125/125</t>
        </is>
      </c>
      <c r="K21">
        <v>191.1</v>
      </c>
      <c r="L21">
        <v>5775192.2</v>
      </c>
      <c r="M21">
        <v>0.129</v>
      </c>
      <c r="N21">
        <v>3937.5</v>
      </c>
      <c r="O21" t="inlineStr">
        <is>
          <t>ИЛ-225</t>
        </is>
      </c>
    </row>
    <row r="22">
      <c r="A22" t="inlineStr">
        <is>
          <t>Сердечник</t>
        </is>
      </c>
      <c r="B22">
        <v>10.79</v>
      </c>
      <c r="C22">
        <v>120</v>
      </c>
      <c r="D22">
        <v>92</v>
      </c>
      <c r="E22">
        <v>90</v>
      </c>
      <c r="F22">
        <v>402174</v>
      </c>
      <c r="G22">
        <v>8</v>
      </c>
      <c r="H22">
        <v>50272</v>
      </c>
      <c r="I22" t="inlineStr">
        <is>
          <t>900x600</t>
        </is>
      </c>
      <c r="J22" t="inlineStr">
        <is>
          <t>125/125</t>
        </is>
      </c>
      <c r="K22">
        <v>86.3</v>
      </c>
      <c r="L22">
        <v>4339457.5</v>
      </c>
      <c r="M22">
        <v>0.129</v>
      </c>
      <c r="N22">
        <v>6549.9</v>
      </c>
      <c r="O22" t="inlineStr">
        <is>
          <t>ИЛ-225</t>
        </is>
      </c>
    </row>
    <row r="23">
      <c r="A23" t="inlineStr">
        <is>
          <t>Диск</t>
        </is>
      </c>
      <c r="B23">
        <v>3.51</v>
      </c>
      <c r="C23">
        <v>130</v>
      </c>
      <c r="D23">
        <v>85</v>
      </c>
      <c r="E23">
        <v>77</v>
      </c>
      <c r="F23">
        <v>1409545</v>
      </c>
      <c r="G23">
        <v>10</v>
      </c>
      <c r="H23">
        <v>140955</v>
      </c>
      <c r="I23" t="inlineStr">
        <is>
          <t>900x600</t>
        </is>
      </c>
      <c r="J23" t="inlineStr">
        <is>
          <t>125/125</t>
        </is>
      </c>
      <c r="K23">
        <v>35.1</v>
      </c>
      <c r="L23">
        <v>4947503.0</v>
      </c>
      <c r="M23">
        <v>0.128</v>
      </c>
      <c r="N23">
        <v>18222.6</v>
      </c>
      <c r="O23" t="inlineStr">
        <is>
          <t>ИЛ-225</t>
        </is>
      </c>
    </row>
    <row r="24">
      <c r="A24" t="inlineStr">
        <is>
          <t>ИТОГО (PDF)</t>
        </is>
      </c>
      <c r="F24">
        <v>9001281</v>
      </c>
      <c r="H24">
        <v>768151</v>
      </c>
      <c r="L24">
        <v>79814786.1</v>
      </c>
      <c r="N24">
        <v>99586.0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>
  <dimension ref="A1:P23"/>
  <sheetViews>
    <sheetView workbookViewId="0">
      <pane ySplit="3" topLeftCell="A4" activePane="bottomLeft" state="frozen"/>
    </sheetView>
  </sheetViews>
  <cols>
    <col min="1" max="1" width="14" customWidth="1"/>
    <col min="2" max="2" width="27" customWidth="1"/>
    <col min="3" max="3" width="22" customWidth="1"/>
    <col min="4" max="4" width="21" customWidth="1"/>
    <col min="5" max="5" width="16" customWidth="1"/>
    <col min="6" max="6" width="23" customWidth="1"/>
    <col min="7" max="7" width="18" customWidth="1"/>
    <col min="8" max="8" width="18" customWidth="1"/>
    <col min="9" max="9" width="18" customWidth="1"/>
    <col min="10" max="10" width="19" customWidth="1"/>
    <col min="11" max="11" width="22" customWidth="1"/>
    <col min="12" max="12" width="23" customWidth="1"/>
    <col min="13" max="13" width="19" customWidth="1"/>
    <col min="14" max="14" width="20" customWidth="1"/>
    <col min="15" max="15" width="24" customWidth="1"/>
    <col min="16" max="16" width="27" customWidth="1"/>
  </cols>
  <sheetData>
    <row r="1" ht="35" customHeight="1">
      <c r="A1" s="1" t="inlineStr">
        <is>
          <t>Диплом 2 — контрольный ввод A:P</t>
        </is>
      </c>
    </row>
    <row r="2" ht="35" customHeight="1">
      <c r="A2" s="3" t="inlineStr">
        <is>
          <t>ИСТОЧНИК — лист «Ведомость формовки»; H/M на этом листе вычисляемые.</t>
        </is>
      </c>
    </row>
    <row r="3" ht="56" customHeight="1">
      <c r="A3" s="2" t="inlineStr">
        <is>
          <t>№</t>
        </is>
      </c>
      <c r="B3" s="2" t="inlineStr">
        <is>
          <t>Наименование</t>
        </is>
      </c>
      <c r="C3" s="2" t="inlineStr">
        <is>
          <t>Масса с ЛПС, кг</t>
        </is>
      </c>
      <c r="D3" s="2" t="inlineStr">
        <is>
          <t>Габарит, мм</t>
        </is>
      </c>
      <c r="E3" s="2" t="inlineStr">
        <is>
          <t>Высота, мм</t>
        </is>
      </c>
      <c r="F3" s="2" t="inlineStr">
        <is>
          <t>Отливок/год с браком</t>
        </is>
      </c>
      <c r="G3" s="2" t="inlineStr">
        <is>
          <t>Отливок/форму</t>
        </is>
      </c>
      <c r="H3" s="2" t="inlineStr">
        <is>
          <t>Масса, т</t>
        </is>
      </c>
      <c r="I3" s="2" t="inlineStr">
        <is>
          <t>Опока L, мм</t>
        </is>
      </c>
      <c r="J3" s="2" t="inlineStr">
        <is>
          <t>Опока W, мм</t>
        </is>
      </c>
      <c r="K3" s="2" t="inlineStr">
        <is>
          <t>Опока верх/низ</t>
        </is>
      </c>
      <c r="L3" s="2" t="inlineStr">
        <is>
          <t>Заливка кг/форма</t>
        </is>
      </c>
      <c r="M3" s="2" t="inlineStr">
        <is>
          <t>Масса L×форм, т</t>
        </is>
      </c>
      <c r="N3" s="2" t="inlineStr">
        <is>
          <t>Смесь/форму, м³</t>
        </is>
      </c>
      <c r="O3" s="2" t="inlineStr">
        <is>
          <t>Примечание</t>
        </is>
      </c>
      <c r="P3" s="2" t="inlineStr">
        <is>
          <t>Машина</t>
        </is>
      </c>
    </row>
    <row r="4">
      <c r="A4">
        <v>1</v>
      </c>
      <c r="B4" t="inlineStr">
        <is>
          <t>Полумуфта</t>
        </is>
      </c>
      <c r="C4">
        <v>6.37</v>
      </c>
      <c r="D4" t="inlineStr">
        <is>
          <t>125x84</t>
        </is>
      </c>
      <c r="E4">
        <v>76</v>
      </c>
      <c r="F4">
        <v>817208</v>
      </c>
      <c r="G4">
        <v>12</v>
      </c>
      <c r="H4">
        <f>F4*C4/1000</f>
        <v>5205.61496</v>
      </c>
      <c r="I4">
        <v>900</v>
      </c>
      <c r="J4">
        <v>600</v>
      </c>
      <c r="K4" t="inlineStr">
        <is>
          <t>200/200</t>
        </is>
      </c>
      <c r="L4">
        <v>76.4</v>
      </c>
      <c r="M4">
        <f>ROUNDUP(F4/G4,0)*L4/1000</f>
        <v>5202.9164</v>
      </c>
      <c r="N4">
        <v>0.127</v>
      </c>
      <c r="O4" t="inlineStr">
        <is>
          <t/>
        </is>
      </c>
      <c r="P4" t="inlineStr">
        <is>
          <t>ИЛ-225</t>
        </is>
      </c>
    </row>
    <row r="5">
      <c r="A5">
        <v>2</v>
      </c>
      <c r="B5" t="inlineStr">
        <is>
          <t>Щит</t>
        </is>
      </c>
      <c r="C5">
        <v>4.55</v>
      </c>
      <c r="D5" t="inlineStr">
        <is>
          <t>112x63</t>
        </is>
      </c>
      <c r="E5">
        <v>85</v>
      </c>
      <c r="F5">
        <v>1193128</v>
      </c>
      <c r="G5">
        <v>16</v>
      </c>
      <c r="H5">
        <f>F5*C5/1000</f>
        <v>5428.7324</v>
      </c>
      <c r="I5">
        <v>900</v>
      </c>
      <c r="J5">
        <v>600</v>
      </c>
      <c r="K5" t="inlineStr">
        <is>
          <t>200/200</t>
        </is>
      </c>
      <c r="L5">
        <v>72.8</v>
      </c>
      <c r="M5">
        <f>ROUNDUP(F5/G5,0)*L5/1000</f>
        <v>5428.7688</v>
      </c>
      <c r="N5">
        <v>0.127</v>
      </c>
      <c r="O5" t="inlineStr">
        <is>
          <t/>
        </is>
      </c>
      <c r="P5" t="inlineStr">
        <is>
          <t>ИЛ-225</t>
        </is>
      </c>
    </row>
    <row r="6">
      <c r="A6">
        <v>3</v>
      </c>
      <c r="B6" t="inlineStr">
        <is>
          <t>Кронштейн</t>
        </is>
      </c>
      <c r="C6">
        <v>13.26</v>
      </c>
      <c r="D6" t="inlineStr">
        <is>
          <t>110x73</t>
        </is>
      </c>
      <c r="E6">
        <v>67</v>
      </c>
      <c r="F6">
        <v>428797</v>
      </c>
      <c r="G6">
        <v>14</v>
      </c>
      <c r="H6">
        <f>F6*C6/1000</f>
        <v>5685.84822</v>
      </c>
      <c r="I6">
        <v>900</v>
      </c>
      <c r="J6">
        <v>600</v>
      </c>
      <c r="K6" t="inlineStr">
        <is>
          <t>200/200</t>
        </is>
      </c>
      <c r="L6">
        <v>185.6</v>
      </c>
      <c r="M6">
        <f>ROUNDUP(F6/G6,0)*L6/1000</f>
        <v>5684.742399999999</v>
      </c>
      <c r="N6">
        <v>0.13</v>
      </c>
      <c r="O6" t="inlineStr">
        <is>
          <t>Формы по PDF отличаются</t>
        </is>
      </c>
      <c r="P6" t="inlineStr">
        <is>
          <t>ИЛ-225</t>
        </is>
      </c>
    </row>
    <row r="7">
      <c r="A7">
        <v>4</v>
      </c>
      <c r="B7" t="inlineStr">
        <is>
          <t>Втулка</t>
        </is>
      </c>
      <c r="C7">
        <v>9.62</v>
      </c>
      <c r="D7" t="inlineStr">
        <is>
          <t>92x87</t>
        </is>
      </c>
      <c r="E7">
        <v>80</v>
      </c>
      <c r="F7">
        <v>319644</v>
      </c>
      <c r="G7">
        <v>12</v>
      </c>
      <c r="H7">
        <f>F7*C7/1000</f>
        <v>3074.9752799999997</v>
      </c>
      <c r="I7">
        <v>900</v>
      </c>
      <c r="J7">
        <v>600</v>
      </c>
      <c r="K7" t="inlineStr">
        <is>
          <t>200/200</t>
        </is>
      </c>
      <c r="L7">
        <v>115.4</v>
      </c>
      <c r="M7">
        <f>ROUNDUP(F7/G7,0)*L7/1000</f>
        <v>3073.9098000000004</v>
      </c>
      <c r="N7">
        <v>0.13</v>
      </c>
      <c r="O7" t="inlineStr">
        <is>
          <t/>
        </is>
      </c>
      <c r="P7" t="inlineStr">
        <is>
          <t>ИЛ-225</t>
        </is>
      </c>
    </row>
    <row r="8">
      <c r="A8">
        <v>5</v>
      </c>
      <c r="B8" t="inlineStr">
        <is>
          <t>Корпус редуктора</t>
        </is>
      </c>
      <c r="C8">
        <v>5.85</v>
      </c>
      <c r="D8" t="inlineStr">
        <is>
          <t>124x91</t>
        </is>
      </c>
      <c r="E8">
        <v>60</v>
      </c>
      <c r="F8">
        <v>259424</v>
      </c>
      <c r="G8">
        <v>12</v>
      </c>
      <c r="H8">
        <f>F8*C8/1000</f>
        <v>1517.6304</v>
      </c>
      <c r="I8">
        <v>900</v>
      </c>
      <c r="J8">
        <v>600</v>
      </c>
      <c r="K8" t="inlineStr">
        <is>
          <t>200/200</t>
        </is>
      </c>
      <c r="L8">
        <v>70.2</v>
      </c>
      <c r="M8">
        <f>ROUNDUP(F8/G8,0)*L8/1000</f>
        <v>1517.6538</v>
      </c>
      <c r="N8">
        <v>0.13</v>
      </c>
      <c r="O8" t="inlineStr">
        <is>
          <t/>
        </is>
      </c>
      <c r="P8" t="inlineStr">
        <is>
          <t>ИЛ-225</t>
        </is>
      </c>
    </row>
    <row r="9">
      <c r="A9">
        <v>6</v>
      </c>
      <c r="B9" t="inlineStr">
        <is>
          <t>Траверса</t>
        </is>
      </c>
      <c r="C9">
        <v>14.69</v>
      </c>
      <c r="D9" t="inlineStr">
        <is>
          <t>125x80</t>
        </is>
      </c>
      <c r="E9">
        <v>98</v>
      </c>
      <c r="F9">
        <v>305877</v>
      </c>
      <c r="G9">
        <v>10</v>
      </c>
      <c r="H9">
        <f>F9*C9/1000</f>
        <v>4493.33313</v>
      </c>
      <c r="I9">
        <v>900</v>
      </c>
      <c r="J9">
        <v>600</v>
      </c>
      <c r="K9" t="inlineStr">
        <is>
          <t>200/200</t>
        </is>
      </c>
      <c r="L9">
        <v>146.9</v>
      </c>
      <c r="M9">
        <f>ROUNDUP(F9/G9,0)*L9/1000</f>
        <v>4493.3772</v>
      </c>
      <c r="N9">
        <v>0.127</v>
      </c>
      <c r="O9" t="inlineStr">
        <is>
          <t/>
        </is>
      </c>
      <c r="P9" t="inlineStr">
        <is>
          <t>ИЛ-225</t>
        </is>
      </c>
    </row>
    <row r="10" ht="56" customHeight="1">
      <c r="A10">
        <v>7</v>
      </c>
      <c r="B10" t="inlineStr">
        <is>
          <t>Корпус насоса</t>
        </is>
      </c>
      <c r="C10">
        <v>11.44</v>
      </c>
      <c r="D10" t="inlineStr">
        <is>
          <t>88x86</t>
        </is>
      </c>
      <c r="E10">
        <v>80</v>
      </c>
      <c r="F10">
        <v>273673</v>
      </c>
      <c r="G10">
        <v>14</v>
      </c>
      <c r="H10">
        <f>F10*C10/1000</f>
        <v>3130.8191199999997</v>
      </c>
      <c r="I10">
        <v>900</v>
      </c>
      <c r="J10">
        <v>600</v>
      </c>
      <c r="K10" t="inlineStr">
        <is>
          <t>200/200</t>
        </is>
      </c>
      <c r="L10">
        <v>160.2</v>
      </c>
      <c r="M10">
        <f>ROUNDUP(F10/G10,0)*L10/1000</f>
        <v>3131.7497999999996</v>
      </c>
      <c r="N10">
        <v>0.129</v>
      </c>
      <c r="O10" t="inlineStr">
        <is>
          <t>Формы по PDF отличаются</t>
        </is>
      </c>
      <c r="P10" t="inlineStr">
        <is>
          <t>ИЛ-225</t>
        </is>
      </c>
    </row>
    <row r="11">
      <c r="A11">
        <v>8</v>
      </c>
      <c r="B11" t="inlineStr">
        <is>
          <t>Патрубок</t>
        </is>
      </c>
      <c r="C11">
        <v>13.0</v>
      </c>
      <c r="D11" t="inlineStr">
        <is>
          <t>132x76</t>
        </is>
      </c>
      <c r="E11">
        <v>80</v>
      </c>
      <c r="F11">
        <v>238636</v>
      </c>
      <c r="G11">
        <v>12</v>
      </c>
      <c r="H11">
        <f>F11*C11/1000</f>
        <v>3102.268</v>
      </c>
      <c r="I11">
        <v>900</v>
      </c>
      <c r="J11">
        <v>600</v>
      </c>
      <c r="K11" t="inlineStr">
        <is>
          <t>200/200</t>
        </is>
      </c>
      <c r="L11">
        <v>156.0</v>
      </c>
      <c r="M11">
        <f>ROUNDUP(F11/G11,0)*L11/1000</f>
        <v>3102.372</v>
      </c>
      <c r="N11">
        <v>0.128</v>
      </c>
      <c r="O11" t="inlineStr">
        <is>
          <t>Формы по PDF отличаются</t>
        </is>
      </c>
      <c r="P11" t="inlineStr">
        <is>
          <t>ИЛ-225</t>
        </is>
      </c>
    </row>
    <row r="12">
      <c r="A12">
        <v>9</v>
      </c>
      <c r="B12" t="inlineStr">
        <is>
          <t>Крышка задняя</t>
        </is>
      </c>
      <c r="C12">
        <v>13.26</v>
      </c>
      <c r="D12" t="inlineStr">
        <is>
          <t>99x88</t>
        </is>
      </c>
      <c r="E12">
        <v>80</v>
      </c>
      <c r="F12">
        <v>429563</v>
      </c>
      <c r="G12">
        <v>12</v>
      </c>
      <c r="H12">
        <f>F12*C12/1000</f>
        <v>5696.00538</v>
      </c>
      <c r="I12">
        <v>900</v>
      </c>
      <c r="J12">
        <v>600</v>
      </c>
      <c r="K12" t="inlineStr">
        <is>
          <t>200/200</t>
        </is>
      </c>
      <c r="L12">
        <v>159.1</v>
      </c>
      <c r="M12">
        <f>ROUNDUP(F12/G12,0)*L12/1000</f>
        <v>5695.3027</v>
      </c>
      <c r="N12">
        <v>0.129</v>
      </c>
      <c r="O12" t="inlineStr">
        <is>
          <t/>
        </is>
      </c>
      <c r="P12" t="inlineStr">
        <is>
          <t>ИЛ-225</t>
        </is>
      </c>
    </row>
    <row r="13">
      <c r="A13">
        <v>10</v>
      </c>
      <c r="B13" t="inlineStr">
        <is>
          <t>Стояк</t>
        </is>
      </c>
      <c r="C13">
        <v>17.03</v>
      </c>
      <c r="D13" t="inlineStr">
        <is>
          <t>115x94</t>
        </is>
      </c>
      <c r="E13">
        <v>79</v>
      </c>
      <c r="F13">
        <v>273539</v>
      </c>
      <c r="G13">
        <v>10</v>
      </c>
      <c r="H13">
        <f>F13*C13/1000</f>
        <v>4658.36917</v>
      </c>
      <c r="I13">
        <v>900</v>
      </c>
      <c r="J13">
        <v>600</v>
      </c>
      <c r="K13" t="inlineStr">
        <is>
          <t>200/200</t>
        </is>
      </c>
      <c r="L13">
        <v>170.3</v>
      </c>
      <c r="M13">
        <f>ROUNDUP(F13/G13,0)*L13/1000</f>
        <v>4658.3862</v>
      </c>
      <c r="N13">
        <v>0.129</v>
      </c>
      <c r="O13" t="inlineStr">
        <is>
          <t/>
        </is>
      </c>
      <c r="P13" t="inlineStr">
        <is>
          <t>ИЛ-225</t>
        </is>
      </c>
    </row>
    <row r="14">
      <c r="A14">
        <v>11</v>
      </c>
      <c r="B14" t="inlineStr">
        <is>
          <t>Крышка</t>
        </is>
      </c>
      <c r="C14">
        <v>14.56</v>
      </c>
      <c r="D14" t="inlineStr">
        <is>
          <t>55x115</t>
        </is>
      </c>
      <c r="E14">
        <v>64</v>
      </c>
      <c r="F14">
        <v>221506</v>
      </c>
      <c r="G14">
        <v>20</v>
      </c>
      <c r="H14">
        <f>F14*C14/1000</f>
        <v>3225.1273600000004</v>
      </c>
      <c r="I14">
        <v>900</v>
      </c>
      <c r="J14">
        <v>600</v>
      </c>
      <c r="K14" t="inlineStr">
        <is>
          <t>200/200</t>
        </is>
      </c>
      <c r="L14">
        <v>291.2</v>
      </c>
      <c r="M14">
        <f>ROUNDUP(F14/G14,0)*L14/1000</f>
        <v>3225.3311999999996</v>
      </c>
      <c r="N14">
        <v>0.129</v>
      </c>
      <c r="O14" t="inlineStr">
        <is>
          <t>Формы по PDF отличаются</t>
        </is>
      </c>
      <c r="P14" t="inlineStr">
        <is>
          <t>ИЛ-225</t>
        </is>
      </c>
    </row>
    <row r="15">
      <c r="A15">
        <v>12</v>
      </c>
      <c r="B15" t="inlineStr">
        <is>
          <t>Фланец</t>
        </is>
      </c>
      <c r="C15">
        <v>12.09</v>
      </c>
      <c r="D15" t="inlineStr">
        <is>
          <t>120x44</t>
        </is>
      </c>
      <c r="E15">
        <v>136</v>
      </c>
      <c r="F15">
        <v>267991</v>
      </c>
      <c r="G15">
        <v>12</v>
      </c>
      <c r="H15">
        <f>F15*C15/1000</f>
        <v>3240.01119</v>
      </c>
      <c r="I15">
        <v>900</v>
      </c>
      <c r="J15">
        <v>600</v>
      </c>
      <c r="K15" t="inlineStr">
        <is>
          <t>200/200</t>
        </is>
      </c>
      <c r="L15">
        <v>145.1</v>
      </c>
      <c r="M15">
        <f>ROUNDUP(F15/G15,0)*L15/1000</f>
        <v>3240.5182999999997</v>
      </c>
      <c r="N15">
        <v>0.129</v>
      </c>
      <c r="O15" t="inlineStr">
        <is>
          <t/>
        </is>
      </c>
      <c r="P15" t="inlineStr">
        <is>
          <t>ИЛ-225</t>
        </is>
      </c>
    </row>
    <row r="16">
      <c r="A16">
        <v>13</v>
      </c>
      <c r="B16" t="inlineStr">
        <is>
          <t>Золотник</t>
        </is>
      </c>
      <c r="C16">
        <v>6.37</v>
      </c>
      <c r="D16" t="inlineStr">
        <is>
          <t>80x92</t>
        </is>
      </c>
      <c r="E16">
        <v>100</v>
      </c>
      <c r="F16">
        <v>427597</v>
      </c>
      <c r="G16">
        <v>10</v>
      </c>
      <c r="H16">
        <f>F16*C16/1000</f>
        <v>2723.79289</v>
      </c>
      <c r="I16">
        <v>900</v>
      </c>
      <c r="J16">
        <v>600</v>
      </c>
      <c r="K16" t="inlineStr">
        <is>
          <t>200/200</t>
        </is>
      </c>
      <c r="L16">
        <v>63.7</v>
      </c>
      <c r="M16">
        <f>ROUNDUP(F16/G16,0)*L16/1000</f>
        <v>2723.812</v>
      </c>
      <c r="N16">
        <v>0.13</v>
      </c>
      <c r="O16" t="inlineStr">
        <is>
          <t/>
        </is>
      </c>
      <c r="P16" t="inlineStr">
        <is>
          <t>ИЛ-225</t>
        </is>
      </c>
    </row>
    <row r="17">
      <c r="A17">
        <v>14</v>
      </c>
      <c r="B17" t="inlineStr">
        <is>
          <t>Плита</t>
        </is>
      </c>
      <c r="C17">
        <v>13.26</v>
      </c>
      <c r="D17" t="inlineStr">
        <is>
          <t>135x84</t>
        </is>
      </c>
      <c r="E17">
        <v>85</v>
      </c>
      <c r="F17">
        <v>242063</v>
      </c>
      <c r="G17">
        <v>10</v>
      </c>
      <c r="H17">
        <f>F17*C17/1000</f>
        <v>3209.75538</v>
      </c>
      <c r="I17">
        <v>900</v>
      </c>
      <c r="J17">
        <v>600</v>
      </c>
      <c r="K17" t="inlineStr">
        <is>
          <t>200/200</t>
        </is>
      </c>
      <c r="L17">
        <v>132.6</v>
      </c>
      <c r="M17">
        <f>ROUNDUP(F17/G17,0)*L17/1000</f>
        <v>3209.8482</v>
      </c>
      <c r="N17">
        <v>0.127</v>
      </c>
      <c r="O17" t="inlineStr">
        <is>
          <t>Формы по PDF отличаются</t>
        </is>
      </c>
      <c r="P17" t="inlineStr">
        <is>
          <t>ИЛ-225</t>
        </is>
      </c>
    </row>
    <row r="18">
      <c r="A18">
        <v>15</v>
      </c>
      <c r="B18" t="inlineStr">
        <is>
          <t>Основание</t>
        </is>
      </c>
      <c r="C18">
        <v>9.62</v>
      </c>
      <c r="D18" t="inlineStr">
        <is>
          <t>91x87</t>
        </is>
      </c>
      <c r="E18">
        <v>68</v>
      </c>
      <c r="F18">
        <v>291394</v>
      </c>
      <c r="G18">
        <v>14</v>
      </c>
      <c r="H18">
        <f>F18*C18/1000</f>
        <v>2803.21028</v>
      </c>
      <c r="I18">
        <v>900</v>
      </c>
      <c r="J18">
        <v>600</v>
      </c>
      <c r="K18" t="inlineStr">
        <is>
          <t>200/200</t>
        </is>
      </c>
      <c r="L18">
        <v>134.7</v>
      </c>
      <c r="M18">
        <f>ROUNDUP(F18/G18,0)*L18/1000</f>
        <v>2803.6458</v>
      </c>
      <c r="N18">
        <v>0.128</v>
      </c>
      <c r="O18" t="inlineStr">
        <is>
          <t/>
        </is>
      </c>
      <c r="P18" t="inlineStr">
        <is>
          <t>ИЛ-225</t>
        </is>
      </c>
    </row>
    <row r="19">
      <c r="A19">
        <v>16</v>
      </c>
      <c r="B19" t="inlineStr">
        <is>
          <t>Штуцер</t>
        </is>
      </c>
      <c r="C19">
        <v>7.41</v>
      </c>
      <c r="D19" t="inlineStr">
        <is>
          <t>123x76</t>
        </is>
      </c>
      <c r="E19">
        <v>80</v>
      </c>
      <c r="F19">
        <v>411292</v>
      </c>
      <c r="G19">
        <v>12</v>
      </c>
      <c r="H19">
        <f>F19*C19/1000</f>
        <v>3047.6737200000002</v>
      </c>
      <c r="I19">
        <v>900</v>
      </c>
      <c r="J19">
        <v>600</v>
      </c>
      <c r="K19" t="inlineStr">
        <is>
          <t>200/200</t>
        </is>
      </c>
      <c r="L19">
        <v>88.9</v>
      </c>
      <c r="M19">
        <f>ROUNDUP(F19/G19,0)*L19/1000</f>
        <v>3047.0475</v>
      </c>
      <c r="N19">
        <v>0.129</v>
      </c>
      <c r="O19" t="inlineStr">
        <is>
          <t>Формы по PDF отличаются</t>
        </is>
      </c>
      <c r="P19" t="inlineStr">
        <is>
          <t>ИЛ-225</t>
        </is>
      </c>
    </row>
    <row r="20">
      <c r="A20">
        <v>17</v>
      </c>
      <c r="B20" t="inlineStr">
        <is>
          <t>Кольцо</t>
        </is>
      </c>
      <c r="C20">
        <v>12.35</v>
      </c>
      <c r="D20" t="inlineStr">
        <is>
          <t>114x84</t>
        </is>
      </c>
      <c r="E20">
        <v>87</v>
      </c>
      <c r="F20">
        <v>365139</v>
      </c>
      <c r="G20">
        <v>10</v>
      </c>
      <c r="H20">
        <f>F20*C20/1000</f>
        <v>4509.466649999999</v>
      </c>
      <c r="I20">
        <v>900</v>
      </c>
      <c r="J20">
        <v>600</v>
      </c>
      <c r="K20" t="inlineStr">
        <is>
          <t>200/200</t>
        </is>
      </c>
      <c r="L20">
        <v>123.5</v>
      </c>
      <c r="M20">
        <f>ROUNDUP(F20/G20,0)*L20/1000</f>
        <v>4509.479</v>
      </c>
      <c r="N20">
        <v>0.128</v>
      </c>
      <c r="O20" t="inlineStr">
        <is>
          <t/>
        </is>
      </c>
      <c r="P20" t="inlineStr">
        <is>
          <t>ИЛ-225</t>
        </is>
      </c>
    </row>
    <row r="21">
      <c r="A21">
        <v>18</v>
      </c>
      <c r="B21" t="inlineStr">
        <is>
          <t>Фланец</t>
        </is>
      </c>
      <c r="C21">
        <v>13.65</v>
      </c>
      <c r="D21" t="inlineStr">
        <is>
          <t>124x64</t>
        </is>
      </c>
      <c r="E21">
        <v>82</v>
      </c>
      <c r="F21">
        <v>423091</v>
      </c>
      <c r="G21">
        <v>14</v>
      </c>
      <c r="H21">
        <f>F21*C21/1000</f>
        <v>5775.192150000001</v>
      </c>
      <c r="I21">
        <v>900</v>
      </c>
      <c r="J21">
        <v>600</v>
      </c>
      <c r="K21" t="inlineStr">
        <is>
          <t>125/125</t>
        </is>
      </c>
      <c r="L21">
        <v>191.1</v>
      </c>
      <c r="M21">
        <f>ROUNDUP(F21/G21,0)*L21/1000</f>
        <v>5775.2330999999995</v>
      </c>
      <c r="N21">
        <v>0.129</v>
      </c>
      <c r="O21" t="inlineStr">
        <is>
          <t/>
        </is>
      </c>
      <c r="P21" t="inlineStr">
        <is>
          <t>ИЛ-225</t>
        </is>
      </c>
    </row>
    <row r="22">
      <c r="A22">
        <v>19</v>
      </c>
      <c r="B22" t="inlineStr">
        <is>
          <t>Сердечник</t>
        </is>
      </c>
      <c r="C22">
        <v>10.79</v>
      </c>
      <c r="D22" t="inlineStr">
        <is>
          <t>120x92</t>
        </is>
      </c>
      <c r="E22">
        <v>90</v>
      </c>
      <c r="F22">
        <v>402174</v>
      </c>
      <c r="G22">
        <v>8</v>
      </c>
      <c r="H22">
        <f>F22*C22/1000</f>
        <v>4339.45746</v>
      </c>
      <c r="I22">
        <v>900</v>
      </c>
      <c r="J22">
        <v>600</v>
      </c>
      <c r="K22" t="inlineStr">
        <is>
          <t>125/125</t>
        </is>
      </c>
      <c r="L22">
        <v>86.3</v>
      </c>
      <c r="M22">
        <f>ROUNDUP(F22/G22,0)*L22/1000</f>
        <v>4338.473599999999</v>
      </c>
      <c r="N22">
        <v>0.129</v>
      </c>
      <c r="O22" t="inlineStr">
        <is>
          <t/>
        </is>
      </c>
      <c r="P22" t="inlineStr">
        <is>
          <t>ИЛ-225</t>
        </is>
      </c>
    </row>
    <row r="23">
      <c r="A23">
        <v>20</v>
      </c>
      <c r="B23" t="inlineStr">
        <is>
          <t>Диск</t>
        </is>
      </c>
      <c r="C23">
        <v>3.51</v>
      </c>
      <c r="D23" t="inlineStr">
        <is>
          <t>130x85</t>
        </is>
      </c>
      <c r="E23">
        <v>77</v>
      </c>
      <c r="F23">
        <v>1409545</v>
      </c>
      <c r="G23">
        <v>10</v>
      </c>
      <c r="H23">
        <f>F23*C23/1000</f>
        <v>4947.502949999999</v>
      </c>
      <c r="I23">
        <v>900</v>
      </c>
      <c r="J23">
        <v>600</v>
      </c>
      <c r="K23" t="inlineStr">
        <is>
          <t>125/125</t>
        </is>
      </c>
      <c r="L23">
        <v>35.1</v>
      </c>
      <c r="M23">
        <f>ROUNDUP(F23/G23,0)*L23/1000</f>
        <v>4947.5205</v>
      </c>
      <c r="N23">
        <v>0.128</v>
      </c>
      <c r="O23" t="inlineStr">
        <is>
          <t/>
        </is>
      </c>
      <c r="P23" t="inlineStr">
        <is>
          <t>ИЛ-225</t>
        </is>
      </c>
    </row>
  </sheetData>
  <mergeCells count="2">
    <mergeCell ref="A1:P1"/>
    <mergeCell ref="A2:P2"/>
  </mergeCells>
</worksheet>
</file>

<file path=xl/worksheets/sheet3.xml><?xml version="1.0" encoding="utf-8"?>
<worksheet xmlns="http://schemas.openxmlformats.org/spreadsheetml/2006/main">
  <dimension ref="A1:F29"/>
  <sheetViews>
    <sheetView workbookViewId="0">
      <pane ySplit="3" topLeftCell="A4" activePane="bottomLeft" state="frozen"/>
    </sheetView>
  </sheetViews>
  <cols>
    <col min="1" max="1" width="38" customWidth="1"/>
    <col min="2" max="2" width="28" customWidth="1"/>
    <col min="3" max="3" width="25" customWidth="1"/>
    <col min="4" max="4" width="29" customWidth="1"/>
    <col min="5" max="5" width="25" customWidth="1"/>
    <col min="6" max="6" width="65" customWidth="1"/>
  </cols>
  <sheetData>
    <row r="1" ht="35" customHeight="1">
      <c r="A1" s="1" t="inlineStr">
        <is>
          <t>Диплом 2: сверка источника и производных величин</t>
        </is>
      </c>
    </row>
    <row r="2" ht="35" customHeight="1">
      <c r="A2" s="3" t="inlineStr">
        <is>
          <t>Исходные спорные числа сохранены без правки в первом листе.</t>
        </is>
      </c>
    </row>
    <row r="3" ht="56" customHeight="1">
      <c r="A3" s="2" t="inlineStr">
        <is>
          <t>Показатель</t>
        </is>
      </c>
      <c r="B3" s="2" t="inlineStr">
        <is>
          <t>Итого PDF</t>
        </is>
      </c>
      <c r="C3" s="2" t="inlineStr">
        <is>
          <t>Сумма строк PDF</t>
        </is>
      </c>
      <c r="D3" s="2" t="inlineStr">
        <is>
          <t>По формуле</t>
        </is>
      </c>
      <c r="E3" s="2" t="inlineStr">
        <is>
          <t>Строки − PDF</t>
        </is>
      </c>
      <c r="F3" s="2" t="inlineStr">
        <is>
          <t>Замечание</t>
        </is>
      </c>
    </row>
    <row r="4">
      <c r="A4" t="inlineStr">
        <is>
          <t>Отливок</t>
        </is>
      </c>
      <c r="B4">
        <v>9001281</v>
      </c>
      <c r="C4">
        <v>9001281</v>
      </c>
      <c r="D4">
        <v>9001281</v>
      </c>
      <c r="E4">
        <v>0</v>
      </c>
      <c r="F4" t="inlineStr">
        <is>
          <t/>
        </is>
      </c>
    </row>
    <row r="5">
      <c r="A5" t="inlineStr">
        <is>
          <t>Форм</t>
        </is>
      </c>
      <c r="B5">
        <v>768151</v>
      </c>
      <c r="C5">
        <v>768153</v>
      </c>
      <c r="D5">
        <v>768159</v>
      </c>
      <c r="E5">
        <v>2</v>
      </c>
      <c r="F5" t="inlineStr">
        <is>
          <t>Программа использует ceil(F/G), не исходное округление</t>
        </is>
      </c>
    </row>
    <row r="6">
      <c r="A6" t="inlineStr">
        <is>
          <t>Металл (кг)</t>
        </is>
      </c>
      <c r="B6">
        <v>79814786.1</v>
      </c>
      <c r="C6">
        <v>79814786.4</v>
      </c>
      <c r="D6">
        <v>79810088.3</v>
      </c>
      <c r="E6">
        <v>0.30000001192092896</v>
      </c>
      <c r="F6" t="inlineStr">
        <is>
          <t>Не заменяйте годный выпуск металлозавалкой</t>
        </is>
      </c>
    </row>
    <row r="7">
      <c r="A7" t="inlineStr">
        <is>
          <t>Смесь, м³</t>
        </is>
      </c>
      <c r="B7">
        <v>99586.0</v>
      </c>
      <c r="C7">
        <v>99585.9</v>
      </c>
      <c r="D7">
        <v>98601.052</v>
      </c>
      <c r="E7">
        <v>-0.10000000000582077</v>
      </c>
      <c r="F7" t="inlineStr">
        <is>
          <t/>
        </is>
      </c>
    </row>
    <row r="8"/>
    <row r="9">
      <c r="A9" t="inlineStr">
        <is>
          <t>Строка</t>
        </is>
      </c>
      <c r="B9" t="inlineStr">
        <is>
          <t>Отливка</t>
        </is>
      </c>
      <c r="C9" t="inlineStr">
        <is>
          <t>Форм PDF</t>
        </is>
      </c>
      <c r="D9" t="inlineStr">
        <is>
          <t>Форм ceil(F/G)</t>
        </is>
      </c>
      <c r="E9" t="inlineStr">
        <is>
          <t>Отклонение форм PDF</t>
        </is>
      </c>
      <c r="F9" t="inlineStr">
        <is>
          <t>L×форм − C×выпуск, т</t>
        </is>
      </c>
    </row>
    <row r="10" ht="56" customHeight="1">
      <c r="A10">
        <v>1</v>
      </c>
      <c r="B10" t="inlineStr">
        <is>
          <t>Полумуфта</t>
        </is>
      </c>
      <c r="C10">
        <v>68101</v>
      </c>
      <c r="D10">
        <v>68101</v>
      </c>
      <c r="E10">
        <v>0</v>
      </c>
      <c r="F10">
        <v>-2.69856</v>
      </c>
    </row>
    <row r="11">
      <c r="A11">
        <v>2</v>
      </c>
      <c r="B11" t="inlineStr">
        <is>
          <t>Щит</t>
        </is>
      </c>
      <c r="C11">
        <v>74571</v>
      </c>
      <c r="D11">
        <v>74571</v>
      </c>
      <c r="E11">
        <v>0</v>
      </c>
      <c r="F11">
        <v>0.0364</v>
      </c>
    </row>
    <row r="12">
      <c r="A12">
        <v>3</v>
      </c>
      <c r="B12" t="inlineStr">
        <is>
          <t>Кронштейн</t>
        </is>
      </c>
      <c r="C12">
        <v>30628</v>
      </c>
      <c r="D12">
        <v>30629</v>
      </c>
      <c r="E12">
        <v>-1</v>
      </c>
      <c r="F12">
        <v>-1.10582</v>
      </c>
    </row>
    <row r="13">
      <c r="A13">
        <v>4</v>
      </c>
      <c r="B13" t="inlineStr">
        <is>
          <t>Втулка</t>
        </is>
      </c>
      <c r="C13">
        <v>26637</v>
      </c>
      <c r="D13">
        <v>26637</v>
      </c>
      <c r="E13">
        <v>0</v>
      </c>
      <c r="F13">
        <v>-1.06548</v>
      </c>
    </row>
    <row r="14">
      <c r="A14">
        <v>5</v>
      </c>
      <c r="B14" t="inlineStr">
        <is>
          <t>Корпус редуктора</t>
        </is>
      </c>
      <c r="C14">
        <v>21619</v>
      </c>
      <c r="D14">
        <v>21619</v>
      </c>
      <c r="E14">
        <v>0</v>
      </c>
      <c r="F14">
        <v>0.0234</v>
      </c>
    </row>
    <row r="15">
      <c r="A15">
        <v>6</v>
      </c>
      <c r="B15" t="inlineStr">
        <is>
          <t>Траверса</t>
        </is>
      </c>
      <c r="C15">
        <v>30588</v>
      </c>
      <c r="D15">
        <v>30588</v>
      </c>
      <c r="E15">
        <v>0</v>
      </c>
      <c r="F15">
        <v>0.04407</v>
      </c>
    </row>
    <row r="16">
      <c r="A16">
        <v>7</v>
      </c>
      <c r="B16" t="inlineStr">
        <is>
          <t>Корпус насоса</t>
        </is>
      </c>
      <c r="C16">
        <v>19548</v>
      </c>
      <c r="D16">
        <v>19549</v>
      </c>
      <c r="E16">
        <v>-1</v>
      </c>
      <c r="F16">
        <v>0.93068</v>
      </c>
    </row>
    <row r="17">
      <c r="A17">
        <v>8</v>
      </c>
      <c r="B17" t="inlineStr">
        <is>
          <t>Патрубок</t>
        </is>
      </c>
      <c r="C17">
        <v>19886</v>
      </c>
      <c r="D17">
        <v>19887</v>
      </c>
      <c r="E17">
        <v>-1</v>
      </c>
      <c r="F17">
        <v>0.104</v>
      </c>
    </row>
    <row r="18">
      <c r="A18">
        <v>9</v>
      </c>
      <c r="B18" t="inlineStr">
        <is>
          <t>Крышка задняя</t>
        </is>
      </c>
      <c r="C18">
        <v>35797</v>
      </c>
      <c r="D18">
        <v>35797</v>
      </c>
      <c r="E18">
        <v>0</v>
      </c>
      <c r="F18">
        <v>-0.70268</v>
      </c>
    </row>
    <row r="19">
      <c r="A19">
        <v>10</v>
      </c>
      <c r="B19" t="inlineStr">
        <is>
          <t>Стояк</t>
        </is>
      </c>
      <c r="C19">
        <v>27354</v>
      </c>
      <c r="D19">
        <v>27354</v>
      </c>
      <c r="E19">
        <v>0</v>
      </c>
      <c r="F19">
        <v>0.01703</v>
      </c>
    </row>
    <row r="20">
      <c r="A20">
        <v>11</v>
      </c>
      <c r="B20" t="inlineStr">
        <is>
          <t>Крышка</t>
        </is>
      </c>
      <c r="C20">
        <v>11075</v>
      </c>
      <c r="D20">
        <v>11076</v>
      </c>
      <c r="E20">
        <v>-1</v>
      </c>
      <c r="F20">
        <v>0.20384</v>
      </c>
    </row>
    <row r="21">
      <c r="A21">
        <v>12</v>
      </c>
      <c r="B21" t="inlineStr">
        <is>
          <t>Фланец</t>
        </is>
      </c>
      <c r="C21">
        <v>22333</v>
      </c>
      <c r="D21">
        <v>22333</v>
      </c>
      <c r="E21">
        <v>0</v>
      </c>
      <c r="F21">
        <v>0.50711</v>
      </c>
    </row>
    <row r="22">
      <c r="A22">
        <v>13</v>
      </c>
      <c r="B22" t="inlineStr">
        <is>
          <t>Золотник</t>
        </is>
      </c>
      <c r="C22">
        <v>42760</v>
      </c>
      <c r="D22">
        <v>42760</v>
      </c>
      <c r="E22">
        <v>0</v>
      </c>
      <c r="F22">
        <v>0.01911</v>
      </c>
    </row>
    <row r="23">
      <c r="A23">
        <v>14</v>
      </c>
      <c r="B23" t="inlineStr">
        <is>
          <t>Плита</t>
        </is>
      </c>
      <c r="C23">
        <v>24206</v>
      </c>
      <c r="D23">
        <v>24207</v>
      </c>
      <c r="E23">
        <v>-1</v>
      </c>
      <c r="F23">
        <v>0.09282</v>
      </c>
    </row>
    <row r="24">
      <c r="A24">
        <v>15</v>
      </c>
      <c r="B24" t="inlineStr">
        <is>
          <t>Основание</t>
        </is>
      </c>
      <c r="C24">
        <v>20814</v>
      </c>
      <c r="D24">
        <v>20814</v>
      </c>
      <c r="E24">
        <v>0</v>
      </c>
      <c r="F24">
        <v>0.43552</v>
      </c>
    </row>
    <row r="25">
      <c r="A25">
        <v>16</v>
      </c>
      <c r="B25" t="inlineStr">
        <is>
          <t>Штуцер</t>
        </is>
      </c>
      <c r="C25">
        <v>34274</v>
      </c>
      <c r="D25">
        <v>34275</v>
      </c>
      <c r="E25">
        <v>-1</v>
      </c>
      <c r="F25">
        <v>-0.62622</v>
      </c>
    </row>
    <row r="26">
      <c r="A26">
        <v>17</v>
      </c>
      <c r="B26" t="inlineStr">
        <is>
          <t>Кольцо</t>
        </is>
      </c>
      <c r="C26">
        <v>36514</v>
      </c>
      <c r="D26">
        <v>36514</v>
      </c>
      <c r="E26">
        <v>0</v>
      </c>
      <c r="F26">
        <v>0.01235</v>
      </c>
    </row>
    <row r="27">
      <c r="A27">
        <v>18</v>
      </c>
      <c r="B27" t="inlineStr">
        <is>
          <t>Фланец</t>
        </is>
      </c>
      <c r="C27">
        <v>30221</v>
      </c>
      <c r="D27">
        <v>30221</v>
      </c>
      <c r="E27">
        <v>0</v>
      </c>
      <c r="F27">
        <v>0.04095</v>
      </c>
    </row>
    <row r="28">
      <c r="A28">
        <v>19</v>
      </c>
      <c r="B28" t="inlineStr">
        <is>
          <t>Сердечник</t>
        </is>
      </c>
      <c r="C28">
        <v>50272</v>
      </c>
      <c r="D28">
        <v>50272</v>
      </c>
      <c r="E28">
        <v>0</v>
      </c>
      <c r="F28">
        <v>-0.98386</v>
      </c>
    </row>
    <row r="29">
      <c r="A29">
        <v>20</v>
      </c>
      <c r="B29" t="inlineStr">
        <is>
          <t>Диск</t>
        </is>
      </c>
      <c r="C29">
        <v>140955</v>
      </c>
      <c r="D29">
        <v>140955</v>
      </c>
      <c r="E29">
        <v>0</v>
      </c>
      <c r="F29">
        <v>0.01755</v>
      </c>
    </row>
  </sheetData>
  <mergeCells count="2">
    <mergeCell ref="A1:F1"/>
    <mergeCell ref="A2:F2"/>
  </mergeCells>
</worksheet>
</file>